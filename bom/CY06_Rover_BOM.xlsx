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c65d5190a14e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M" sheetId="1" r:id="R5570e543f2724f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#,##0.00"/>
  </x:numFmts>
  <x:fonts count="5">
    <x:font>
      <x:sz val="11"/>
      <x:name val="Carlito"/>
    </x:font>
    <x:font>
      <x:sz val="11"/>
      <x:color rgb="FF222222"/>
      <x:name val="Arial"/>
    </x:font>
    <x:font>
      <x:b/>
      <x:sz val="14"/>
      <x:color rgb="FF222222"/>
      <x:name val="Arial"/>
    </x:font>
    <x:font>
      <x:b/>
      <x:sz val="11"/>
      <x:color rgb="FF222222"/>
      <x:name val="Arial"/>
    </x:font>
    <x:font>
      <x:sz val="11"/>
      <x:color rgb="FF0000CC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DEDE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/>
    </x:xf>
    <x:xf numFmtId="201" fontId="1" fillId="0" borderId="0" xfId="0" applyNumberFormat="1" applyFont="1" applyFill="1" applyBorder="1" applyAlignment="1">
      <x:alignment vertical="top"/>
    </x:xf>
    <x:xf numFmtId="201" fontId="3" fillId="2" borderId="0" xfId="0" applyNumberFormat="1" applyFont="1" applyFill="1" applyBorder="1"/>
    <x:xf numFmtId="200" fontId="4" fillId="0" borderId="0" xfId="0" applyNumberFormat="1" applyFont="1" applyFill="1" applyBorder="1" applyAlignment="1">
      <x:alignment vertical="top"/>
    </x:xf>
    <x:xf numFmtId="201" fontId="4" fillId="0" borderId="0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40bb2488c74e51" /><Relationship Type="http://schemas.openxmlformats.org/officeDocument/2006/relationships/theme" Target="/xl/theme/theme1.xml" Id="R4238e4aa208e4c57" /><Relationship Type="http://schemas.openxmlformats.org/officeDocument/2006/relationships/sharedStrings" Target="/xl/sharedStrings.xml" Id="Rca164fb3052149e8" /><Relationship Type="http://schemas.openxmlformats.org/officeDocument/2006/relationships/worksheet" Target="/xl/worksheets/sheet1.xml" Id="R5570e543f2724f31" /></Relationships>
</file>

<file path=xl/tables/table1.xml><?xml version="1.0" encoding="utf-8"?>
<x:table xmlns:x="http://schemas.openxmlformats.org/spreadsheetml/2006/main" id="1" name="RoverBOM" displayName="RoverBOM" ref="A3:J46" headerRowCount="1" totalsRowCount="0" totalsRowShown="0">
  <x:tableColumns count="10">
    <x:tableColumn id="1" name="ID"/>
    <x:tableColumn id="2" name="Part"/>
    <x:tableColumn id="3" name="Specification"/>
    <x:tableColumn id="4" name="Qty"/>
    <x:tableColumn id="5" name="Unit"/>
    <x:tableColumn id="6" name="Unit INR"/>
    <x:tableColumn id="7" name="Line INR"/>
    <x:tableColumn id="8" name="Basis"/>
    <x:tableColumn id="9" name="Supplier"/>
    <x:tableColumn id="10" name="Note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Type="http://schemas.openxmlformats.org/officeDocument/2006/relationships/table" Target="/xl/tables/table1.xml" Id="Rf45e59d4a5b04d86" /><ns0:Relationship Id="rIdSupplier4" Type="http://schemas.openxmlformats.org/officeDocument/2006/relationships/hyperlink" Target="https://robu.in/product/grade-a-quality-orange-12v-300-rpm-johnson-geared-dc-motor/" TargetMode="External" /><ns0:Relationship Id="rIdSupplier5" Type="http://schemas.openxmlformats.org/officeDocument/2006/relationships/hyperlink" Target="https://robu.in/product/pro-range-ds3225-25kgcm-metal-gear-digital-servo-motor-180-degree/" TargetMode="External" /><ns0:Relationship Id="rIdSupplier6" Type="http://schemas.openxmlformats.org/officeDocument/2006/relationships/hyperlink" Target="https://robu.in/product/16-channel-12-bit-pwmservo-driver-i2c-interface-pca9685-arduino-raspberry-pi/" TargetMode="External" /><ns0:Relationship Id="rIdSupplier7" Type="http://schemas.openxmlformats.org/officeDocument/2006/relationships/hyperlink" Target="https://robu.in/product/double-bts7960-43a-h-bridge-high-power-stepper-motor-driver-module/" TargetMode="External" /><ns0:Relationship Id="rIdSupplier8" Type="http://schemas.openxmlformats.org/officeDocument/2006/relationships/hyperlink" Target="https://robu.in/product/raspberry-pi-pico/" TargetMode="External" /><ns0:Relationship Id="rIdSupplier9" Type="http://schemas.openxmlformats.org/officeDocument/2006/relationships/hyperlink" Target="https://robocraze.com/products/teensy-4-0-development-board?variant=42205078192352&amp;country=IN&amp;currency=INR&amp;utm_term=&amp;campaignid=23745897046&amp;adgroupid=&amp;campaign=23745897046" TargetMode="External" /><ns0:Relationship Id="rIdSupplier10" Type="http://schemas.openxmlformats.org/officeDocument/2006/relationships/hyperlink" Target="https://robocraze.com/products/adxl345-digital-angle-acceleration-sensor-module?variant=44517783797984&amp;country=IN&amp;currency=INR" TargetMode="External" /><ns0:Relationship Id="rIdSupplier11" Type="http://schemas.openxmlformats.org/officeDocument/2006/relationships/hyperlink" Target="https://robokits.co.in/sensors/accelerometer-and-magnetometer/triple-axis-accelerometer-gyro-mpu-6050-breakout" TargetMode="External" /><ns0:Relationship Id="rIdSupplier13" Type="http://schemas.openxmlformats.org/officeDocument/2006/relationships/hyperlink" Target="https://robu.in/product/sn74hct245n-texas-instruments-transceiver-74hct245-4-5-v-to-5-5-v-dip-20/" TargetMode="External" /><ns0:Relationship Id="rIdSupplier14" Type="http://schemas.openxmlformats.org/officeDocument/2006/relationships/hyperlink" Target="https://www.flyrobo.in/mcu-2317-mcp23017-expander-serial-i2c-interface-module" TargetMode="External" /><ns0:Relationship Id="rIdSupplier15" Type="http://schemas.openxmlformats.org/officeDocument/2006/relationships/hyperlink" Target="https://robu.in/product/cd74hc4067-high-speed-%25e2%2580%258b%25e2%2580%258bcmos-16-channel-analogdigital-multiplexer-breakout-module/" TargetMode="External" /><ns0:Relationship Id="rIdSupplier17" Type="http://schemas.openxmlformats.org/officeDocument/2006/relationships/hyperlink" Target="https://robu.in/product/lm393-linear-hall-effect-sensor-module/" TargetMode="External" /><ns0:Relationship Id="rIdSupplier18" Type="http://schemas.openxmlformats.org/officeDocument/2006/relationships/hyperlink" Target="https://robu.in/product-category/limit-switch/" TargetMode="External" /><ns0:Relationship Id="rIdSupplier19" Type="http://schemas.openxmlformats.org/officeDocument/2006/relationships/hyperlink" Target="https://www.flyrobo.in/tf-wifi-micro-sd-card-reader-module-for-d1-mini" TargetMode="External" /><ns0:Relationship Id="rIdSupplier20" Type="http://schemas.openxmlformats.org/officeDocument/2006/relationships/hyperlink" Target="https://hubtronics.in/16gb-micro-sd-card" TargetMode="External" /><ns0:Relationship Id="rIdSupplier21" Type="http://schemas.openxmlformats.org/officeDocument/2006/relationships/hyperlink" Target="https://robu.in/product/orange-11-1v-2500mah-3c-3s-tx-lithium-polymer-battery-pack-with-jst-bec-connector/" TargetMode="External" /><ns0:Relationship Id="rIdSupplier22" Type="http://schemas.openxmlformats.org/officeDocument/2006/relationships/hyperlink" Target="https://makerbazar.in/products/12v-7ah-9ah-lead-acid-battery-charger12v-7ah-9ah-lead-acid-battery-charger" TargetMode="External" /><ns0:Relationship Id="rIdSupplier23" Type="http://schemas.openxmlformats.org/officeDocument/2006/relationships/hyperlink" Target="https://rajivelectronics.com/product/ef40-1a-12v-automotive-4-pin-40a-12vdc-relay-automotive-power-relay" TargetMode="External" /><ns0:Relationship Id="rIdSupplier24" Type="http://schemas.openxmlformats.org/officeDocument/2006/relationships/hyperlink" Target="https://rajivelectronics.com/product/ef40-1a-12v-automotive-4-pin-40a-12vdc-relay-automotive-power-relay" TargetMode="External" /><ns0:Relationship Id="rIdSupplier25" Type="http://schemas.openxmlformats.org/officeDocument/2006/relationships/hyperlink" Target="https://robu.in/product/ac-660v-10a-lay37-dpst-emergency-stop-push-button-switch/" TargetMode="External" /><ns0:Relationship Id="rIdSupplier26" Type="http://schemas.openxmlformats.org/officeDocument/2006/relationships/hyperlink" Target="https://robu.in/product/k800-round-super-circular-magnet/" TargetMode="External" /><ns0:Relationship Id="rIdSupplier27" Type="http://schemas.openxmlformats.org/officeDocument/2006/relationships/hyperlink" Target="https://www.flyrobo.in/xl4015-5a-dc-dc-adjustable-step-down-power-supply-module-1" TargetMode="External" /><ns0:Relationship Id="rIdSupplier29" Type="http://schemas.openxmlformats.org/officeDocument/2006/relationships/hyperlink" Target="https://robocraze.com/products/esp32s-cam-wifi-development-board-with-rhyx-m21-45-camera-module?variant=54474930225376&amp;country=IN&amp;currency=INR&amp;utm_term=&amp;campaignid=23451097817&amp;adgroupid=&amp;campaign=23451097817" TargetMode="External" /><ns0:Relationship Id="rIdSupplier30" Type="http://schemas.openxmlformats.org/officeDocument/2006/relationships/hyperlink" Target="https://robu.in/product/14awg-silicone-braided-wire-black/" TargetMode="External" /><ns0:Relationship Id="rIdSupplier31" Type="http://schemas.openxmlformats.org/officeDocument/2006/relationships/hyperlink" Target="https://probots.co.in/4-pin-jst-xh-polarised-connector-254mm-wire-harness.html" TargetMode="External" /><ns0:Relationship Id="rIdSupplier32" Type="http://schemas.openxmlformats.org/officeDocument/2006/relationships/hyperlink" Target="https://robu.in/product-category/limit-switch/" TargetMode="External" /><ns0:Relationship Id="rIdSupplier33" Type="http://schemas.openxmlformats.org/officeDocument/2006/relationships/hyperlink" Target="https://robu.in/product/cjmcu-219-ina219-i2c-interface-no-drift-bi-directional-current-power-monitoring-sensor-module/" TargetMode="External" /><ns0:Relationship Id="rIdSupplier34" Type="http://schemas.openxmlformats.org/officeDocument/2006/relationships/hyperlink" Target="https://robu.in/product/oe-28-hall-effect-two-channel-magnetic-encoder/" TargetMode="External" /><ns0:Relationship Id="rIdSupplier35" Type="http://schemas.openxmlformats.org/officeDocument/2006/relationships/hyperlink" Target="https://www.rajeshaluminium.com/gujarat" TargetMode="External" /><ns0:Relationship Id="rIdSupplier36" Type="http://schemas.openxmlformats.org/officeDocument/2006/relationships/hyperlink" Target="https://www.rajeshaluminium.com/gujarat" TargetMode="External" /><ns0:Relationship Id="rIdSupplier37" Type="http://schemas.openxmlformats.org/officeDocument/2006/relationships/hyperlink" Target="https://www.rajeshaluminium.com/gujarat" TargetMode="External" /><ns0:Relationship Id="rIdSupplier38" Type="http://schemas.openxmlformats.org/officeDocument/2006/relationships/hyperlink" Target="https://www.manishsteels.com/rectangle-pipes.php" TargetMode="External" /><ns0:Relationship Id="rIdSupplier39" Type="http://schemas.openxmlformats.org/officeDocument/2006/relationships/hyperlink" Target="https://robu.in/product/ptfe-2x4mm-teflon-tubing-for-3d-printers-1-75mm-filament-1m/" TargetMode="External" /><ns0:Relationship Id="rIdSupplier40" Type="http://schemas.openxmlformats.org/officeDocument/2006/relationships/hyperlink" Target="https://dreampolymers.com/product/petg-pro-3d-printing-filament/" TargetMode="External" /><ns0:Relationship Id="rIdSupplier41" Type="http://schemas.openxmlformats.org/officeDocument/2006/relationships/hyperlink" Target="https://3dmasterindia.in/product/isanmate-tpu-flexible-filament-black/" TargetMode="External" /><ns0:Relationship Id="rIdSupplier42" Type="http://schemas.openxmlformats.org/officeDocument/2006/relationships/hyperlink" Target="https://www.ebmpindia.com/steel-wire-ropes.html" TargetMode="External" /><ns0:Relationship Id="rIdSupplier43" Type="http://schemas.openxmlformats.org/officeDocument/2006/relationships/hyperlink" Target="https://omrook.com/6001-2rs-deep-groove-ball-bearing-12x28x8/" TargetMode="External" /><ns0:Relationship Id="rIdSupplier44" Type="http://schemas.openxmlformats.org/officeDocument/2006/relationships/hyperlink" Target="https://omrook.com/51100-thrust-ball-bearing-id-10mm-od-24mm-th-9mm/" TargetMode="External" /><ns0:Relationship Id="rIdSupplier45" Type="http://schemas.openxmlformats.org/officeDocument/2006/relationships/hyperlink" Target="https://in.misumi-ec.com/vona2/detail/221000551286/" TargetMode="External" /><ns0:Relationship Id="rIdSupplier46" Type="http://schemas.openxmlformats.org/officeDocument/2006/relationships/hyperlink" Target="https://www.joyguruhardware.com/product/32365749/Araldite-Epoxy-Adhesive-90-gm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showGridLines="0" workbookViewId="0">
      <pane xSplit="2" ySplit="3" topLeftCell="C4" activePane="bottomRight" state="frozen"/>
    </sheetView>
  </sheetViews>
  <sheetFormatPr defaultRowHeight="15"/>
  <cols>
    <col min="1" max="1" width="6.110000133514404" hidden="0" customWidth="1"/>
    <col min="2" max="2" width="26.110000610351562" hidden="0" customWidth="1"/>
    <col min="3" max="3" width="45.560001373291016" hidden="0" customWidth="1"/>
    <col min="4" max="4" width="5.559999942779541" hidden="0" customWidth="1"/>
    <col min="5" max="5" width="7.78000020980835" hidden="0" customWidth="1"/>
    <col min="6" max="6" width="11.670000076293945" hidden="0" customWidth="1"/>
    <col min="7" max="7" width="12.779999732971191" hidden="0" customWidth="1"/>
    <col min="8" max="8" width="10" hidden="0" customWidth="1"/>
    <col min="9" max="9" width="41.66999816894531" hidden="0" customWidth="1"/>
    <col min="10" max="10" width="56.66999816894531" hidden="0" customWidth="1"/>
  </cols>
  <sheetData>
    <row r="1" ht="24" customHeight="1">
      <c r="A1" s="2" t="str">
        <v>CY06 rover bill of materials</v>
      </c>
      <c r="B1" s="2"/>
      <c r="C1" s="2"/>
      <c r="D1" s="2"/>
      <c r="E1" s="2"/>
      <c r="F1" s="2"/>
      <c r="G1" s="2"/>
      <c r="H1" s="2"/>
      <c r="I1" s="2"/>
      <c r="J1" s="2"/>
    </row>
    <row r="2">
      <c r="A2" s="1"/>
      <c r="B2" s="1"/>
      <c r="C2" s="1"/>
      <c r="D2" s="1"/>
      <c r="E2" s="1"/>
      <c r="F2" s="1"/>
      <c r="G2" s="1"/>
      <c r="H2" s="1"/>
      <c r="I2" s="1"/>
      <c r="J2" s="1"/>
    </row>
    <row r="3" ht="22.5" customHeight="1">
      <c r="A3" s="6" t="str">
        <v>ID</v>
      </c>
      <c r="B3" s="6" t="str">
        <v>Part</v>
      </c>
      <c r="C3" s="6" t="str">
        <v>Specification</v>
      </c>
      <c r="D3" s="6" t="str">
        <v>Qty</v>
      </c>
      <c r="E3" s="6" t="str">
        <v>Unit</v>
      </c>
      <c r="F3" s="6" t="str">
        <v>Unit INR</v>
      </c>
      <c r="G3" s="6" t="str">
        <v>Line INR</v>
      </c>
      <c r="H3" s="6" t="str">
        <v>Basis</v>
      </c>
      <c r="I3" s="6" t="str">
        <v>Supplier</v>
      </c>
      <c r="J3" s="6" t="str">
        <v>Note</v>
      </c>
    </row>
    <row r="4" ht="30" customHeight="1">
      <c r="A4" s="7" t="n">
        <v>1</v>
      </c>
      <c r="B4" s="8" t="str">
        <v>Wheel drive motor</v>
      </c>
      <c r="C4" s="8" t="str">
        <v>Johnson 12 V, 300 rpm</v>
      </c>
      <c r="D4" s="12" t="n">
        <v>4</v>
      </c>
      <c r="E4" s="8" t="str">
        <v>each</v>
      </c>
      <c r="F4" s="13" t="n">
        <v>583</v>
      </c>
      <c r="G4" s="10" t="n">
        <f>ROUND(D4*F4,2)</f>
        <v>2332</v>
      </c>
      <c r="H4" s="8" t="str">
        <v>Listed</v>
      </c>
      <c r="I4" s="8" t="str">
        <v>https://robu.in/product/grade-a-quality-orange-12v-300-rpm-johnson-geared-dc-motor/</v>
      </c>
      <c r="J4" s="8" t="str">
        <v>Six wheel drives; supported motor mounts.</v>
      </c>
    </row>
    <row r="5" ht="30" customHeight="1">
      <c r="A5" s="7" t="n">
        <v>2</v>
      </c>
      <c r="B5" s="8" t="str">
        <v>Servo</v>
      </c>
      <c r="C5" s="8" t="str"/>
      <c r="D5" s="12" t="n">
        <v>6</v>
      </c>
      <c r="E5" s="8" t="str"/>
      <c r="F5" s="13" t="n">
        <v>1409</v>
      </c>
      <c r="G5" s="10" t="n">
        <f>ROUND(D5*F5,2)</f>
        <v>8454</v>
      </c>
      <c r="H5" s="8" t="str"/>
      <c r="I5" s="8" t="str">
        <v>https://robu.in/product/pro-range-ds3225-25kgcm-metal-gear-digital-servo-motor-180-degree/</v>
      </c>
      <c r="J5" s="8" t="str"/>
    </row>
    <row r="6" ht="42" customHeight="1">
      <c r="A6" s="7" t="n">
        <v>3</v>
      </c>
      <c r="B6" s="8" t="str">
        <v>Servo motor driver</v>
      </c>
      <c r="C6" s="8" t="str"/>
      <c r="D6" s="12" t="n">
        <v>6</v>
      </c>
      <c r="E6" s="8" t="str"/>
      <c r="F6" s="13" t="n">
        <v>249</v>
      </c>
      <c r="G6" s="10" t="n">
        <f>ROUND(D6*F6,2)</f>
        <v>1494</v>
      </c>
      <c r="H6" s="8" t="str"/>
      <c r="I6" s="8" t="str">
        <v>https://robu.in/product/16-channel-12-bit-pwmservo-driver-i2c-interface-pca9685-arduino-raspberry-pi/</v>
      </c>
      <c r="J6" s="8" t="str"/>
    </row>
    <row r="7" ht="30" customHeight="1">
      <c r="A7" s="7" t="n">
        <v>4</v>
      </c>
      <c r="B7" s="8" t="str">
        <v>Motor driver</v>
      </c>
      <c r="C7" s="8" t="str">
        <v>BTS7960 H-bridge, KSTM1859</v>
      </c>
      <c r="D7" s="12" t="n">
        <v>4</v>
      </c>
      <c r="E7" s="8" t="str">
        <v>each</v>
      </c>
      <c r="F7" s="13" t="n">
        <v>329</v>
      </c>
      <c r="G7" s="10" t="n">
        <f>ROUND(D7*F7,2)</f>
        <v>1316</v>
      </c>
      <c r="H7" s="8" t="str">
        <v>Listed</v>
      </c>
      <c r="I7" s="8" t="str">
        <v>https://robu.in/product/double-bts7960-43a-h-bridge-high-power-stepper-motor-driver-module/</v>
      </c>
      <c r="J7" s="8" t="str">
        <v>Twelve boards: six wheel drives and six preload drives. Thermal and stall-current tests required.</v>
      </c>
    </row>
    <row r="8" ht="25.5" customHeight="1">
      <c r="A8" s="7" t="n">
        <v>5</v>
      </c>
      <c r="B8" s="8" t="str">
        <v>Wheel controller</v>
      </c>
      <c r="C8" s="8" t="str">
        <v>Raspberry Pi Pico, RP2040</v>
      </c>
      <c r="D8" s="12" t="n">
        <v>1</v>
      </c>
      <c r="E8" s="8" t="str">
        <v>each</v>
      </c>
      <c r="F8" s="13" t="n">
        <v>384</v>
      </c>
      <c r="G8" s="10" t="n">
        <f>ROUND(D8*F8,2)</f>
        <v>384</v>
      </c>
      <c r="H8" s="8" t="str">
        <v>Listed</v>
      </c>
      <c r="I8" s="8" t="str">
        <v>Robu</v>
      </c>
      <c r="J8" s="8" t="str"/>
    </row>
    <row r="9" ht="54" customHeight="1">
      <c r="A9" s="7" t="n">
        <v>6</v>
      </c>
      <c r="B9" s="8" t="str">
        <v>Logger and preload controller</v>
      </c>
      <c r="C9" s="8" t="str">
        <v>Teensy</v>
      </c>
      <c r="D9" s="12" t="n">
        <v>1</v>
      </c>
      <c r="E9" s="8" t="str">
        <v>each</v>
      </c>
      <c r="F9" s="13" t="n">
        <v>2785</v>
      </c>
      <c r="G9" s="10" t="n">
        <f>ROUND(D9*F9,2)</f>
        <v>2785</v>
      </c>
      <c r="H9" s="8" t="str">
        <v>Listed</v>
      </c>
      <c r="I9" s="8" t="str">
        <v>https://robocraze.com/products/teensy-4-0-development-board?variant=42205078192352&amp;country=IN&amp;currency=INR&amp;utm_term=&amp;campaignid=23745897046&amp;adgroupid=&amp;campaign=23745897046</v>
      </c>
      <c r="J9" s="8" t="str"/>
    </row>
    <row r="10" ht="42" customHeight="1">
      <c r="A10" s="7" t="n">
        <v>7</v>
      </c>
      <c r="B10" s="8" t="str">
        <v>Vibration accelerometer</v>
      </c>
      <c r="C10" s="8" t="str">
        <v>ADXL345 module, RDNA-C50</v>
      </c>
      <c r="D10" s="12" t="n">
        <v>3</v>
      </c>
      <c r="E10" s="8" t="str">
        <v>each</v>
      </c>
      <c r="F10" s="13" t="n">
        <v>255</v>
      </c>
      <c r="G10" s="10" t="n">
        <f>ROUND(D10*F10,2)</f>
        <v>765</v>
      </c>
      <c r="H10" s="8" t="str">
        <v>Listed</v>
      </c>
      <c r="I10" s="8" t="str">
        <v>https://robocraze.com/products/adxl345-digital-angle-acceleration-sensor-module?variant=44517783797984&amp;country=IN&amp;currency=INR</v>
      </c>
      <c r="J10" s="8" t="str">
        <v>Three measurement locations.</v>
      </c>
    </row>
    <row r="11" ht="42" customHeight="1">
      <c r="A11" s="7" t="n">
        <v>8</v>
      </c>
      <c r="B11" s="8" t="str">
        <v>Chassis attitude sensor</v>
      </c>
      <c r="C11" s="8" t="str">
        <v>MPU6050 module, RDNA-E529</v>
      </c>
      <c r="D11" s="12" t="n">
        <v>1</v>
      </c>
      <c r="E11" s="8" t="str">
        <v>each</v>
      </c>
      <c r="F11" s="13" t="n">
        <v>173</v>
      </c>
      <c r="G11" s="10" t="n">
        <f>ROUND(D11*F11,2)</f>
        <v>173</v>
      </c>
      <c r="H11" s="8" t="str">
        <v>Listed</v>
      </c>
      <c r="I11" s="8" t="str">
        <v>https://robokits.co.in/sensors/accelerometer-and-magnetometer/triple-axis-accelerometer-gyro-mpu-6050-breakout</v>
      </c>
      <c r="J11" s="8" t="str"/>
    </row>
    <row r="12" ht="25.5" customHeight="1">
      <c r="A12" s="7" t="n">
        <v>9</v>
      </c>
      <c r="B12" s="8" t="str">
        <v>Encoder circuit set</v>
      </c>
      <c r="C12" s="8" t="str">
        <v>Comparators, circuit boards and small components</v>
      </c>
      <c r="D12" s="12" t="n">
        <v>1</v>
      </c>
      <c r="E12" s="8" t="str">
        <v>set</v>
      </c>
      <c r="F12" s="13" t="n">
        <v>300</v>
      </c>
      <c r="G12" s="10" t="n">
        <f>ROUND(D12*F12,2)</f>
        <v>300</v>
      </c>
      <c r="H12" s="8" t="str">
        <v>Estimate</v>
      </c>
      <c r="I12" s="8" t="str"/>
      <c r="J12" s="8" t="str"/>
    </row>
    <row r="13" ht="42" customHeight="1">
      <c r="A13" s="7" t="n">
        <v>10</v>
      </c>
      <c r="B13" s="8" t="str">
        <v>Control signal buffer</v>
      </c>
      <c r="C13" s="8" t="str">
        <v>74HCT245, 3.3 V to 5 V interface</v>
      </c>
      <c r="D13" s="12" t="n">
        <v>4</v>
      </c>
      <c r="E13" s="8" t="str">
        <v>each</v>
      </c>
      <c r="F13" s="13" t="n">
        <v>149</v>
      </c>
      <c r="G13" s="10" t="n">
        <f>ROUND(D13*F13,2)</f>
        <v>596</v>
      </c>
      <c r="H13" s="8" t="str">
        <v>Listed</v>
      </c>
      <c r="I13" s="8" t="str">
        <v>https://robu.in/product/sn74hct245n-texas-instruments-transceiver-74hct245-4-5-v-to-5-5-v-dip-20/</v>
      </c>
      <c r="J13" s="8" t="str">
        <v>32 channels: 24 motor PWM, six servo PWM and two common-enable banks.</v>
      </c>
    </row>
    <row r="14" ht="30" customHeight="1">
      <c r="A14" s="7" t="n">
        <v>11</v>
      </c>
      <c r="B14" s="8" t="str">
        <v>Digital I/O expander</v>
      </c>
      <c r="C14" s="8" t="str">
        <v>MCP23017 modules, addresses 0x20 and 0x21</v>
      </c>
      <c r="D14" s="12" t="n">
        <v>2</v>
      </c>
      <c r="E14" s="8" t="str">
        <v>each</v>
      </c>
      <c r="F14" s="13" t="n">
        <v>332</v>
      </c>
      <c r="G14" s="10" t="n">
        <f>ROUND(D14*F14,2)</f>
        <v>664</v>
      </c>
      <c r="H14" s="8" t="str">
        <v>Listed</v>
      </c>
      <c r="I14" s="8" t="str">
        <v>FlyRobo</v>
      </c>
      <c r="J14" s="8" t="str">
        <v>Twelve NC end limits, six NC lock inputs, mux selection and global arm.</v>
      </c>
    </row>
    <row r="15" ht="42" customHeight="1">
      <c r="A15" s="7" t="n">
        <v>12</v>
      </c>
      <c r="B15" s="8" t="str">
        <v>Analog multiplexer</v>
      </c>
      <c r="C15" s="8" t="str">
        <v>CD74HC4067 module, 16 channels</v>
      </c>
      <c r="D15" s="12" t="n">
        <v>2</v>
      </c>
      <c r="E15" s="8" t="str">
        <v>each</v>
      </c>
      <c r="F15" s="13" t="n">
        <v>50</v>
      </c>
      <c r="G15" s="10" t="n">
        <f>ROUND(D15*F15,2)</f>
        <v>100</v>
      </c>
      <c r="H15" s="8" t="str">
        <v>Listed</v>
      </c>
      <c r="I15" s="8" t="str">
        <v>https://robu.in/product/cd74hc4067-high-speed-%25e2%2580%258b%25e2%2580%258bcmos-16-channel-analogdigital-multiplexer-breakout-module/</v>
      </c>
      <c r="J15" s="8" t="str">
        <v>Two modules handle 24 driver diagnostic signals and six conditioned Hall inputs.</v>
      </c>
    </row>
    <row r="16" ht="30" customHeight="1">
      <c r="A16" s="7" t="n">
        <v>13</v>
      </c>
      <c r="B16" s="8" t="str">
        <v>Input conditioning circuit set</v>
      </c>
      <c r="C16" s="8" t="str">
        <v>Thirty ADC inputs, startup pull-downs and interface components</v>
      </c>
      <c r="D16" s="12" t="n">
        <v>1</v>
      </c>
      <c r="E16" s="8" t="str">
        <v>set</v>
      </c>
      <c r="F16" s="13" t="n">
        <v>400</v>
      </c>
      <c r="G16" s="10" t="n">
        <f>ROUND(D16*F16,2)</f>
        <v>400</v>
      </c>
      <c r="H16" s="8" t="str">
        <v>Estimate</v>
      </c>
      <c r="I16" s="8" t="str"/>
      <c r="J16" s="8" t="str">
        <v>3.3 V ADC limits. Allowance includes current/status and Hall conditioning.</v>
      </c>
    </row>
    <row r="17" ht="30" customHeight="1">
      <c r="A17" s="7" t="n">
        <v>14</v>
      </c>
      <c r="B17" s="8" t="str">
        <v>Preload position sensor</v>
      </c>
      <c r="C17" s="8" t="str">
        <v>Linear Hall sensor module</v>
      </c>
      <c r="D17" s="12" t="n">
        <v>6</v>
      </c>
      <c r="E17" s="8" t="str">
        <v>each</v>
      </c>
      <c r="F17" s="13" t="n">
        <v>40</v>
      </c>
      <c r="G17" s="10" t="n">
        <f>ROUND(D17*F17,2)</f>
        <v>240</v>
      </c>
      <c r="H17" s="8" t="str">
        <v>Listed</v>
      </c>
      <c r="I17" s="8" t="str">
        <v>https://robu.in/product/lm393-linear-hall-effect-sensor-module/</v>
      </c>
      <c r="J17" s="8" t="str">
        <v>One sensor per independent carriage.</v>
      </c>
    </row>
    <row r="18" ht="30" customHeight="1">
      <c r="A18" s="7" t="n">
        <v>15</v>
      </c>
      <c r="B18" s="8" t="str">
        <v>Preload travel limit switches</v>
      </c>
      <c r="C18" s="8" t="str">
        <v>KW11 normally closed switches, pack of two</v>
      </c>
      <c r="D18" s="12" t="n">
        <v>6</v>
      </c>
      <c r="E18" s="8" t="str">
        <v>pack</v>
      </c>
      <c r="F18" s="13" t="n">
        <v>29</v>
      </c>
      <c r="G18" s="10" t="n">
        <f>ROUND(D18*F18,2)</f>
        <v>174</v>
      </c>
      <c r="H18" s="8" t="str">
        <v>Listed</v>
      </c>
      <c r="I18" s="8" t="str">
        <v>Robu</v>
      </c>
      <c r="J18" s="8" t="str">
        <v>Six packs provide 12 end limits, two per carriage. Controller inputs.</v>
      </c>
    </row>
    <row r="19" ht="25.5" customHeight="1">
      <c r="A19" s="7" t="n">
        <v>16</v>
      </c>
      <c r="B19" s="8" t="str">
        <v>Memory card interface</v>
      </c>
      <c r="C19" s="8" t="str">
        <v>SPI microSD reader module</v>
      </c>
      <c r="D19" s="12" t="n">
        <v>1</v>
      </c>
      <c r="E19" s="8" t="str">
        <v>each</v>
      </c>
      <c r="F19" s="13" t="n">
        <v>40</v>
      </c>
      <c r="G19" s="10" t="n">
        <f>ROUND(D19*F19,2)</f>
        <v>40</v>
      </c>
      <c r="H19" s="8" t="str">
        <v>Listed</v>
      </c>
      <c r="I19" s="8" t="str">
        <v>FlyRobo</v>
      </c>
      <c r="J19" s="8" t="str"/>
    </row>
    <row r="20" ht="25.5" customHeight="1">
      <c r="A20" s="7" t="n">
        <v>17</v>
      </c>
      <c r="B20" s="8" t="str">
        <v>Logging memory card</v>
      </c>
      <c r="C20" s="8" t="str">
        <v>16 GB Class 10 microSD card</v>
      </c>
      <c r="D20" s="12" t="n">
        <v>1</v>
      </c>
      <c r="E20" s="8" t="str">
        <v>each</v>
      </c>
      <c r="F20" s="13" t="n">
        <v>499</v>
      </c>
      <c r="G20" s="10" t="n">
        <f>ROUND(D20*F20,2)</f>
        <v>499</v>
      </c>
      <c r="H20" s="8" t="str">
        <v>Listed</v>
      </c>
      <c r="I20" s="8" t="str">
        <v>HUBTRONICS</v>
      </c>
      <c r="J20" s="8" t="str"/>
    </row>
    <row r="21" ht="42" customHeight="1">
      <c r="A21" s="7" t="n">
        <v>18</v>
      </c>
      <c r="B21" s="8" t="str">
        <v>Battery</v>
      </c>
      <c r="C21" s="8" t="str">
        <v>Li-Po</v>
      </c>
      <c r="D21" s="12" t="n">
        <v>2</v>
      </c>
      <c r="E21" s="8" t="str">
        <v>each</v>
      </c>
      <c r="F21" s="13" t="n">
        <v>1700</v>
      </c>
      <c r="G21" s="10" t="n">
        <f>ROUND(D21*F21,2)</f>
        <v>3400</v>
      </c>
      <c r="H21" s="8" t="str">
        <v>Listed</v>
      </c>
      <c r="I21" s="8" t="str">
        <v>https://robu.in/product/orange-11-1v-2500mah-3c-3s-tx-lithium-polymer-battery-pack-with-jst-bec-connector/</v>
      </c>
      <c r="J21" s="8" t="str"/>
    </row>
    <row r="22" ht="25.5" customHeight="1">
      <c r="A22" s="7" t="n">
        <v>19</v>
      </c>
      <c r="B22" s="8" t="str">
        <v>Battery charger</v>
      </c>
      <c r="C22" s="8" t="str">
        <v>13.8 V, 1.5 A VRLA float charger</v>
      </c>
      <c r="D22" s="12" t="n">
        <v>1</v>
      </c>
      <c r="E22" s="8" t="str">
        <v>each</v>
      </c>
      <c r="F22" s="13" t="n">
        <v>249</v>
      </c>
      <c r="G22" s="10" t="n">
        <f>ROUND(D22*F22,2)</f>
        <v>249</v>
      </c>
      <c r="H22" s="8" t="str">
        <v>Listed</v>
      </c>
      <c r="I22" s="8" t="str">
        <v>MakerBazar</v>
      </c>
      <c r="J22" s="8" t="str"/>
    </row>
    <row r="23" ht="25.5" customHeight="1">
      <c r="A23" s="7" t="n">
        <v>20</v>
      </c>
      <c r="B23" s="8" t="str">
        <v>Motor supply relay</v>
      </c>
      <c r="C23" s="8" t="str">
        <v>EF40-1A-12V power relay</v>
      </c>
      <c r="D23" s="12" t="n">
        <v>1</v>
      </c>
      <c r="E23" s="8" t="str">
        <v>each</v>
      </c>
      <c r="F23" s="13" t="n">
        <v>76.7</v>
      </c>
      <c r="G23" s="10" t="n">
        <f>ROUND(D23*F23,2)</f>
        <v>76.7</v>
      </c>
      <c r="H23" s="8" t="str">
        <v>Listed</v>
      </c>
      <c r="I23" s="8" t="str">
        <v>Rajiv Electronics</v>
      </c>
      <c r="J23" s="8" t="str"/>
    </row>
    <row r="24" ht="25.5" customHeight="1">
      <c r="A24" s="7" t="n">
        <v>21</v>
      </c>
      <c r="B24" s="8" t="str">
        <v>Relay connection set</v>
      </c>
      <c r="C24" s="8" t="str">
        <v>Socket, coil suppression and terminals</v>
      </c>
      <c r="D24" s="12" t="n">
        <v>1</v>
      </c>
      <c r="E24" s="8" t="str">
        <v>set</v>
      </c>
      <c r="F24" s="13" t="n">
        <v>70</v>
      </c>
      <c r="G24" s="10" t="n">
        <f>ROUND(D24*F24,2)</f>
        <v>70</v>
      </c>
      <c r="H24" s="8" t="str">
        <v>Estimate</v>
      </c>
      <c r="I24" s="8" t="str">
        <v>Rajiv Electronics / local assembly</v>
      </c>
      <c r="J24" s="8" t="str"/>
    </row>
    <row r="25" ht="30" customHeight="1">
      <c r="A25" s="7" t="n">
        <v>22</v>
      </c>
      <c r="B25" s="8" t="str">
        <v>Emergency stop switch</v>
      </c>
      <c r="C25" s="8" t="str">
        <v>Latching normally closed switch</v>
      </c>
      <c r="D25" s="12" t="n">
        <v>1</v>
      </c>
      <c r="E25" s="8" t="str">
        <v>each</v>
      </c>
      <c r="F25" s="13" t="n">
        <v>109</v>
      </c>
      <c r="G25" s="10" t="n">
        <f>ROUND(D25*F25,2)</f>
        <v>109</v>
      </c>
      <c r="H25" s="8" t="str">
        <v>Listed</v>
      </c>
      <c r="I25" s="8" t="str">
        <v>https://robu.in/product/ac-660v-10a-lay37-dpst-emergency-stop-push-button-switch/</v>
      </c>
      <c r="J25" s="8" t="str"/>
    </row>
    <row r="26" ht="30" customHeight="1">
      <c r="A26" s="7" t="n">
        <v>23</v>
      </c>
      <c r="B26" s="8" t="str">
        <v>Ring Magnet</v>
      </c>
      <c r="C26" s="8" t="str">
        <v>K800</v>
      </c>
      <c r="D26" s="12" t="n">
        <v>1</v>
      </c>
      <c r="E26" s="8" t="str">
        <v>each</v>
      </c>
      <c r="F26" s="13" t="n">
        <v>29</v>
      </c>
      <c r="G26" s="10" t="n">
        <f>ROUND(D26*F26,2)</f>
        <v>29</v>
      </c>
      <c r="H26" s="8" t="str">
        <v>Listed</v>
      </c>
      <c r="I26" s="8" t="str">
        <v>https://robu.in/product/k800-round-super-circular-magnet/</v>
      </c>
      <c r="J26" s="8" t="str"/>
    </row>
    <row r="27" ht="25.5" customHeight="1">
      <c r="A27" s="7" t="n">
        <v>24</v>
      </c>
      <c r="B27" s="8" t="str">
        <v>Logic power regulator</v>
      </c>
      <c r="C27" s="8" t="str">
        <v>5 V DC/DC converter</v>
      </c>
      <c r="D27" s="12" t="n">
        <v>1</v>
      </c>
      <c r="E27" s="8" t="str">
        <v>each</v>
      </c>
      <c r="F27" s="13" t="n">
        <v>93</v>
      </c>
      <c r="G27" s="10" t="n">
        <f>ROUND(D27*F27,2)</f>
        <v>93</v>
      </c>
      <c r="H27" s="8" t="str">
        <v>Listed</v>
      </c>
      <c r="I27" s="8" t="str">
        <v>FlyRobo</v>
      </c>
      <c r="J27" s="8" t="str"/>
    </row>
    <row r="28" ht="25.5" customHeight="1">
      <c r="A28" s="7" t="n">
        <v>25</v>
      </c>
      <c r="B28" s="8" t="str">
        <v>Sensor power regulator set</v>
      </c>
      <c r="C28" s="8" t="str">
        <v>3.3 V regulator and decoupling components</v>
      </c>
      <c r="D28" s="12" t="n">
        <v>1</v>
      </c>
      <c r="E28" s="8" t="str">
        <v>set</v>
      </c>
      <c r="F28" s="13" t="n">
        <v>50</v>
      </c>
      <c r="G28" s="10" t="n">
        <f>ROUND(D28*F28,2)</f>
        <v>50</v>
      </c>
      <c r="H28" s="8" t="str">
        <v>Estimate</v>
      </c>
      <c r="I28" s="8" t="str"/>
      <c r="J28" s="8" t="str"/>
    </row>
    <row r="29" ht="66" customHeight="1">
      <c r="A29" s="7" t="n">
        <v>26</v>
      </c>
      <c r="B29" s="8" t="str">
        <v>Observation camera</v>
      </c>
      <c r="C29" s="8" t="str">
        <v>ESP32-CAM module</v>
      </c>
      <c r="D29" s="12" t="n">
        <v>1</v>
      </c>
      <c r="E29" s="8" t="str">
        <v>each</v>
      </c>
      <c r="F29" s="13" t="n">
        <v>750</v>
      </c>
      <c r="G29" s="10" t="n">
        <f>ROUND(D29*F29,2)</f>
        <v>750</v>
      </c>
      <c r="H29" s="8" t="str">
        <v>Listed</v>
      </c>
      <c r="I29" s="8" t="str">
        <v>https://robocraze.com/products/esp32s-cam-wifi-development-board-with-rhyx-m21-45-camera-module?variant=54474930225376&amp;country=IN&amp;currency=INR&amp;utm_term=&amp;campaignid=23451097817&amp;adgroupid=&amp;campaign=23451097817</v>
      </c>
      <c r="J29" s="8" t="str"/>
    </row>
    <row r="30" ht="30" customHeight="1">
      <c r="A30" s="7" t="n">
        <v>27</v>
      </c>
      <c r="B30" s="8" t="str">
        <v>Power harness set</v>
      </c>
      <c r="C30" s="8" t="str">
        <v>Power cable and locking connectors for twelve motor channels</v>
      </c>
      <c r="D30" s="12" t="n">
        <v>1</v>
      </c>
      <c r="E30" s="8" t="str">
        <v>set</v>
      </c>
      <c r="F30" s="13" t="n">
        <v>900</v>
      </c>
      <c r="G30" s="10" t="n">
        <f>ROUND(D30*F30,2)</f>
        <v>900</v>
      </c>
      <c r="H30" s="8" t="str">
        <v>Estimate</v>
      </c>
      <c r="I30" s="8" t="str">
        <v>Robu / local assembly</v>
      </c>
      <c r="J30" s="8" t="str">
        <v>Includes added motor branches and two separate servo power rails.</v>
      </c>
    </row>
    <row r="31" ht="30" customHeight="1">
      <c r="A31" s="7" t="n">
        <v>28</v>
      </c>
      <c r="B31" s="8" t="str">
        <v>Signal harness set</v>
      </c>
      <c r="C31" s="8" t="str">
        <v>Sensor wiring, connectors and integration PCB</v>
      </c>
      <c r="D31" s="12" t="n">
        <v>1</v>
      </c>
      <c r="E31" s="8" t="str">
        <v>set</v>
      </c>
      <c r="F31" s="13" t="n">
        <v>700</v>
      </c>
      <c r="G31" s="10" t="n">
        <f>ROUND(D31*F31,2)</f>
        <v>700</v>
      </c>
      <c r="H31" s="8" t="str">
        <v>Estimate</v>
      </c>
      <c r="I31" s="8" t="str">
        <v>ProBots / local assembly</v>
      </c>
      <c r="J31" s="8" t="str">
        <v>For six Hall sensors, 12 end limits, six lock switches and added I2C modules.</v>
      </c>
    </row>
    <row r="32" ht="25.5" customHeight="1">
      <c r="A32" s="7" t="n">
        <v>29</v>
      </c>
      <c r="B32" s="8" t="str">
        <v>Lock position switches</v>
      </c>
      <c r="C32" s="8" t="str">
        <v>Normally closed switches, pack of two</v>
      </c>
      <c r="D32" s="12" t="n">
        <v>3</v>
      </c>
      <c r="E32" s="8" t="str">
        <v>pack</v>
      </c>
      <c r="F32" s="13" t="n">
        <v>29</v>
      </c>
      <c r="G32" s="10" t="n">
        <f>ROUND(D32*F32,2)</f>
        <v>87</v>
      </c>
      <c r="H32" s="8" t="str">
        <v>Listed</v>
      </c>
      <c r="I32" s="8" t="str">
        <v>Robu</v>
      </c>
      <c r="J32" s="8" t="str">
        <v>Three packs provide six pawl-engaged confirmation switches.</v>
      </c>
    </row>
    <row r="33" ht="42" customHeight="1">
      <c r="A33" s="7" t="n">
        <v>30</v>
      </c>
      <c r="B33" s="8" t="str">
        <v>Battery energy measurement kit</v>
      </c>
      <c r="C33" s="8" t="str">
        <v>INA219, external shunt and Kelvin connections</v>
      </c>
      <c r="D33" s="12" t="n">
        <v>1</v>
      </c>
      <c r="E33" s="8" t="str">
        <v>set</v>
      </c>
      <c r="F33" s="13" t="n">
        <v>139</v>
      </c>
      <c r="G33" s="10" t="n">
        <f>ROUND(D33*F33,2)</f>
        <v>139</v>
      </c>
      <c r="H33" s="8" t="str">
        <v>Mixed</v>
      </c>
      <c r="I33" s="8" t="str">
        <v>https://robu.in/product/cjmcu-219-ina219-i2c-interface-no-drift-bi-directional-current-power-monitoring-sensor-module/</v>
      </c>
      <c r="J33" s="8" t="str"/>
    </row>
    <row r="34" ht="30" customHeight="1">
      <c r="A34" s="7" t="n">
        <v>31</v>
      </c>
      <c r="B34" s="8" t="str">
        <v>Rotary Encoder</v>
      </c>
      <c r="C34" s="8" t="str"/>
      <c r="D34" s="12" t="n">
        <v>1</v>
      </c>
      <c r="E34" s="8" t="str">
        <v>set</v>
      </c>
      <c r="F34" s="13" t="n">
        <v>500</v>
      </c>
      <c r="G34" s="10" t="n">
        <f>ROUND(D34*F34,2)</f>
        <v>500</v>
      </c>
      <c r="H34" s="8" t="str"/>
      <c r="I34" s="8" t="str">
        <v>https://robu.in/product/oe-28-hall-effect-two-channel-magnetic-encoder/</v>
      </c>
      <c r="J34" s="8" t="str"/>
    </row>
    <row r="35" ht="30" customHeight="1">
      <c r="A35" s="7" t="n">
        <v>32</v>
      </c>
      <c r="B35" s="8" t="str">
        <v>Aluminium sheet and plate</v>
      </c>
      <c r="C35" s="8" t="str">
        <v>600 x 600 x 2 mm; 600 x 600 x 4 mm; 200 x 200 x 12 mm</v>
      </c>
      <c r="D35" s="12" t="n">
        <v>1</v>
      </c>
      <c r="E35" s="8" t="str">
        <v>lot</v>
      </c>
      <c r="F35" s="13" t="n">
        <v>3304</v>
      </c>
      <c r="G35" s="10" t="n">
        <f>ROUND(D35*F35,2)</f>
        <v>3304</v>
      </c>
      <c r="H35" s="8" t="str">
        <v>Estimate</v>
      </c>
      <c r="I35" s="8" t="str">
        <v>Rajesh Aluminium India</v>
      </c>
      <c r="J35" s="8" t="str">
        <v>One piece of each size; total blank mass 7.13 kg.</v>
      </c>
    </row>
    <row r="36" ht="25.5" customHeight="1">
      <c r="A36" s="7" t="n">
        <v>33</v>
      </c>
      <c r="B36" s="8" t="str">
        <v>Aluminium hub bar</v>
      </c>
      <c r="C36" s="8" t="str">
        <v>Diameter 40 mm, length 300 mm</v>
      </c>
      <c r="D36" s="12" t="n">
        <v>1</v>
      </c>
      <c r="E36" s="8" t="str">
        <v>length</v>
      </c>
      <c r="F36" s="13" t="n">
        <v>708</v>
      </c>
      <c r="G36" s="10" t="n">
        <f>ROUND(D36*F36,2)</f>
        <v>708</v>
      </c>
      <c r="H36" s="8" t="str">
        <v>Estimate</v>
      </c>
      <c r="I36" s="8" t="str">
        <v>Rajesh Aluminium India</v>
      </c>
      <c r="J36" s="8" t="str">
        <v>For six metal bearing hubs.</v>
      </c>
    </row>
    <row r="37" ht="30" customHeight="1">
      <c r="A37" s="7" t="n">
        <v>34</v>
      </c>
      <c r="B37" s="8" t="str">
        <v>Steel and brass stock</v>
      </c>
      <c r="C37" s="8" t="str">
        <v>Shaft rods, sleeve tube and brass nut blanks</v>
      </c>
      <c r="D37" s="12" t="n">
        <v>1</v>
      </c>
      <c r="E37" s="8" t="str">
        <v>lot</v>
      </c>
      <c r="F37" s="13" t="n">
        <v>1534</v>
      </c>
      <c r="G37" s="10" t="n">
        <f>ROUND(D37*F37,2)</f>
        <v>1534</v>
      </c>
      <c r="H37" s="8" t="str">
        <v>Estimate</v>
      </c>
      <c r="I37" s="8" t="str">
        <v>Rajesh Aluminium / local Indian metal stockist</v>
      </c>
      <c r="J37" s="8" t="str">
        <v>For six M6 x 0.5 left-hand screw sets and 12 guide rails. Machining cost is separate.</v>
      </c>
    </row>
    <row r="38" ht="30" customHeight="1">
      <c r="A38" s="7" t="n">
        <v>35</v>
      </c>
      <c r="B38" s="8" t="str">
        <v>Steel lock and bracket blanks</v>
      </c>
      <c r="C38" s="8" t="str">
        <v>40 x 20 x 2 mm rectangular tube, 450 mm long</v>
      </c>
      <c r="D38" s="12" t="n">
        <v>2</v>
      </c>
      <c r="E38" s="8" t="str">
        <v>length</v>
      </c>
      <c r="F38" s="13" t="n">
        <v>206.5</v>
      </c>
      <c r="G38" s="10" t="n">
        <f>ROUND(D38*F38,2)</f>
        <v>413</v>
      </c>
      <c r="H38" s="8" t="str">
        <v>Estimate</v>
      </c>
      <c r="I38" s="8" t="str">
        <v>Manish Steel Center India</v>
      </c>
      <c r="J38" s="8" t="str">
        <v>Two stock lengths for six individual lock/bracket sets. Cut plan requires release.</v>
      </c>
    </row>
    <row r="39" ht="25.5" customHeight="1">
      <c r="A39" s="7" t="n">
        <v>36</v>
      </c>
      <c r="B39" s="8" t="str">
        <v>Polymer stock</v>
      </c>
      <c r="C39" s="8" t="str">
        <v>PTFE tube, acetal offcuts and 1.5 mm roof sheet</v>
      </c>
      <c r="D39" s="12" t="n">
        <v>1</v>
      </c>
      <c r="E39" s="8" t="str">
        <v>lot</v>
      </c>
      <c r="F39" s="13" t="n">
        <v>1062</v>
      </c>
      <c r="G39" s="10" t="n">
        <f>ROUND(D39*F39,2)</f>
        <v>1062</v>
      </c>
      <c r="H39" s="8" t="str">
        <v>Estimate</v>
      </c>
      <c r="I39" s="8" t="str">
        <v>Robu / polymer stockist</v>
      </c>
      <c r="J39" s="8" t="str">
        <v>Roof sheet blank: 600 x 600 mm.</v>
      </c>
    </row>
    <row r="40" ht="25.5" customHeight="1">
      <c r="A40" s="7" t="n">
        <v>37</v>
      </c>
      <c r="B40" s="8" t="str">
        <v>PETG filament</v>
      </c>
      <c r="C40" s="8" t="str">
        <v>1 kg spool, 1.75 mm diameter</v>
      </c>
      <c r="D40" s="12" t="n">
        <v>3</v>
      </c>
      <c r="E40" s="8" t="str">
        <v>spool</v>
      </c>
      <c r="F40" s="13" t="n">
        <v>798.86</v>
      </c>
      <c r="G40" s="10" t="n">
        <f>ROUND(D40*F40,2)</f>
        <v>2396.58</v>
      </c>
      <c r="H40" s="8" t="str">
        <v>Listed</v>
      </c>
      <c r="I40" s="8" t="str">
        <v>Dream Polymers India</v>
      </c>
      <c r="J40" s="8" t="str">
        <v>Three spools; listed starting price varies by colour.</v>
      </c>
    </row>
    <row r="41" ht="25.5" customHeight="1">
      <c r="A41" s="7" t="n">
        <v>38</v>
      </c>
      <c r="B41" s="8" t="str">
        <v>TPU 95A filament</v>
      </c>
      <c r="C41" s="8" t="str">
        <v>1 kg spool, 1.75 mm diameter</v>
      </c>
      <c r="D41" s="12" t="n">
        <v>1</v>
      </c>
      <c r="E41" s="8" t="str">
        <v>spool</v>
      </c>
      <c r="F41" s="13" t="n">
        <v>1414.82</v>
      </c>
      <c r="G41" s="10" t="n">
        <f>ROUND(D41*F41,2)</f>
        <v>1414.82</v>
      </c>
      <c r="H41" s="8" t="str">
        <v>Listed</v>
      </c>
      <c r="I41" s="8" t="str">
        <v>3D Master India</v>
      </c>
      <c r="J41" s="8" t="str">
        <v>For tyre and elastic-element trials; tax allowance included.</v>
      </c>
    </row>
    <row r="42" ht="25.5" customHeight="1">
      <c r="A42" s="7" t="n">
        <v>39</v>
      </c>
      <c r="B42" s="8" t="str">
        <v>Tension cable and fittings</v>
      </c>
      <c r="C42" s="8" t="str">
        <v>Stainless cable, swage sleeves and termination stock</v>
      </c>
      <c r="D42" s="12" t="n">
        <v>1</v>
      </c>
      <c r="E42" s="8" t="str">
        <v>lot</v>
      </c>
      <c r="F42" s="13" t="n">
        <v>944</v>
      </c>
      <c r="G42" s="10" t="n">
        <f>ROUND(D42*F42,2)</f>
        <v>944</v>
      </c>
      <c r="H42" s="8" t="str">
        <v>Estimate</v>
      </c>
      <c r="I42" s="8" t="str">
        <v>EBMP India</v>
      </c>
      <c r="J42" s="8" t="str">
        <v>Approximately 12 m cable plus cutting allowance.</v>
      </c>
    </row>
    <row r="43" ht="30" customHeight="1">
      <c r="A43" s="7" t="n">
        <v>40</v>
      </c>
      <c r="B43" s="8" t="str">
        <v>Radial bearing</v>
      </c>
      <c r="C43" s="8" t="str">
        <v>NBC 6001ZZ, 12 x 28 x 8 mm</v>
      </c>
      <c r="D43" s="12" t="n">
        <v>24</v>
      </c>
      <c r="E43" s="8" t="str">
        <v>each</v>
      </c>
      <c r="F43" s="13" t="n">
        <v>21</v>
      </c>
      <c r="G43" s="10" t="n">
        <f>ROUND(D43*F43,2)</f>
        <v>504</v>
      </c>
      <c r="H43" s="8" t="str">
        <v>Listed</v>
      </c>
      <c r="I43" s="8" t="str">
        <v>https://omrook.com/6001-2rs-deep-groove-ball-bearing-12x28x8/</v>
      </c>
      <c r="J43" s="8" t="str">
        <v>Metal bearing seats and shaft fits.</v>
      </c>
    </row>
    <row r="44" ht="30" customHeight="1">
      <c r="A44" s="7" t="n">
        <v>41</v>
      </c>
      <c r="B44" s="8" t="str">
        <v>Preload thrust bearing</v>
      </c>
      <c r="C44" s="8" t="str">
        <v>NTN 51100, 10 x 24 x 9 mm</v>
      </c>
      <c r="D44" s="12" t="n">
        <v>6</v>
      </c>
      <c r="E44" s="8" t="str">
        <v>each</v>
      </c>
      <c r="F44" s="13" t="n">
        <v>102.66</v>
      </c>
      <c r="G44" s="10" t="n">
        <f>ROUND(D44*F44,2)</f>
        <v>615.96</v>
      </c>
      <c r="H44" s="8" t="str">
        <v>Listed</v>
      </c>
      <c r="I44" s="8" t="str">
        <v>https://omrook.com/51100-thrust-ball-bearing-id-10mm-od-24mm-th-9mm/</v>
      </c>
      <c r="J44" s="8" t="str">
        <v>Six bearings, one per screw. Stepped journals and metal bearing blocks required.</v>
      </c>
    </row>
    <row r="45" ht="30" customHeight="1">
      <c r="A45" s="7" t="n">
        <v>42</v>
      </c>
      <c r="B45" s="8" t="str">
        <v>Fasteners and inserts</v>
      </c>
      <c r="C45" s="8" t="str">
        <v>Bulk M2-M6 screws, nuts, inserts and retaining fittings</v>
      </c>
      <c r="D45" s="12" t="n">
        <v>1</v>
      </c>
      <c r="E45" s="8" t="str">
        <v>lot</v>
      </c>
      <c r="F45" s="13" t="n">
        <v>2832</v>
      </c>
      <c r="G45" s="10" t="n">
        <f>ROUND(D45*F45,2)</f>
        <v>2832</v>
      </c>
      <c r="H45" s="8" t="str">
        <v>Estimate</v>
      </c>
      <c r="I45" s="8" t="str">
        <v>Local fastener stockist</v>
      </c>
      <c r="J45" s="8" t="str">
        <v>Includes spare hardware and six lock fitting sets.</v>
      </c>
    </row>
    <row r="46" ht="25.5" customHeight="1">
      <c r="A46" s="7" t="n">
        <v>43</v>
      </c>
      <c r="B46" s="8" t="str">
        <v>Assembly consumables</v>
      </c>
      <c r="C46" s="8" t="str">
        <v>Rigid epoxy, protective pads, lubricant and cleaner</v>
      </c>
      <c r="D46" s="12" t="n">
        <v>1</v>
      </c>
      <c r="E46" s="8" t="str">
        <v>lot</v>
      </c>
      <c r="F46" s="13" t="n">
        <v>472</v>
      </c>
      <c r="G46" s="10" t="n">
        <f>ROUND(D46*F46,2)</f>
        <v>472</v>
      </c>
      <c r="H46" s="8" t="str">
        <v>Mixed</v>
      </c>
      <c r="I46" s="8" t="str">
        <v>Joy Guru Hardware</v>
      </c>
      <c r="J46" s="8" t="str">
        <v>Sensor mounts use a rigid bond.</v>
      </c>
    </row>
    <row r="47" ht="24" customHeight="1">
      <c r="A47" s="4"/>
      <c r="B47" s="4" t="str">
        <v>Total</v>
      </c>
      <c r="C47" s="4"/>
      <c r="D47" s="4"/>
      <c r="E47" s="4"/>
      <c r="F47" s="11"/>
      <c r="G47" s="11" t="n">
        <f>SUM(G4:G46)</f>
        <v>44069.06</v>
      </c>
      <c r="H47" s="4"/>
      <c r="I47" s="4"/>
      <c r="J47" s="4"/>
    </row>
  </sheetData>
  <mergeCells>
    <mergeCell ref="A1:J1"/>
  </mergeCells>
  <hyperlinks>
    <hyperlink ref="I4" r:id="rIdSupplier4"/>
    <hyperlink ref="I5" r:id="rIdSupplier5"/>
    <hyperlink ref="I6" r:id="rIdSupplier6"/>
    <hyperlink ref="I7" r:id="rIdSupplier7"/>
    <hyperlink ref="I8" r:id="rIdSupplier8"/>
    <hyperlink ref="I9" r:id="rIdSupplier9"/>
    <hyperlink ref="I10" r:id="rIdSupplier10"/>
    <hyperlink ref="I11" r:id="rIdSupplier11"/>
    <hyperlink ref="I13" r:id="rIdSupplier13"/>
    <hyperlink ref="I14" r:id="rIdSupplier14"/>
    <hyperlink ref="I15" r:id="rIdSupplier15"/>
    <hyperlink ref="I17" r:id="rIdSupplier17"/>
    <hyperlink ref="I18" r:id="rIdSupplier18"/>
    <hyperlink ref="I19" r:id="rIdSupplier19"/>
    <hyperlink ref="I20" r:id="rIdSupplier20"/>
    <hyperlink ref="I21" r:id="rIdSupplier21"/>
    <hyperlink ref="I22" r:id="rIdSupplier22"/>
    <hyperlink ref="I23" r:id="rIdSupplier23"/>
    <hyperlink ref="I24" r:id="rIdSupplier24"/>
    <hyperlink ref="I25" r:id="rIdSupplier25"/>
    <hyperlink ref="I26" r:id="rIdSupplier26"/>
    <hyperlink ref="I27" r:id="rIdSupplier27"/>
    <hyperlink ref="I29" r:id="rIdSupplier29"/>
    <hyperlink ref="I30" r:id="rIdSupplier30"/>
    <hyperlink ref="I31" r:id="rIdSupplier31"/>
    <hyperlink ref="I32" r:id="rIdSupplier32"/>
    <hyperlink ref="I33" r:id="rIdSupplier33"/>
    <hyperlink ref="I34" r:id="rIdSupplier34"/>
    <hyperlink ref="I35" r:id="rIdSupplier35"/>
    <hyperlink ref="I36" r:id="rIdSupplier36"/>
    <hyperlink ref="I37" r:id="rIdSupplier37"/>
    <hyperlink ref="I38" r:id="rIdSupplier38"/>
    <hyperlink ref="I39" r:id="rIdSupplier39"/>
    <hyperlink ref="I40" r:id="rIdSupplier40"/>
    <hyperlink ref="I41" r:id="rIdSupplier41"/>
    <hyperlink ref="I42" r:id="rIdSupplier42"/>
    <hyperlink ref="I43" r:id="rIdSupplier43"/>
    <hyperlink ref="I44" r:id="rIdSupplier44"/>
    <hyperlink ref="I45" r:id="rIdSupplier45"/>
    <hyperlink ref="I46" r:id="rIdSupplier46"/>
  </hyperlinks>
  <pageMargins left="0.7" right="0.7" top="0.75" bottom="0.75" header="0.3" footer="0.3"/>
  <tableParts count="1">
    <tablePart r:id="Rf45e59d4a5b04d86"/>
  </tableParts>
</worksheet>
</file>